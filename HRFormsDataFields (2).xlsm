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8715" yWindow="465" windowWidth="11700" windowHeight="13800" activeTab="3"/>
  </bookViews>
  <sheets>
    <sheet name="Sheet1" sheetId="1" r:id="rId1"/>
    <sheet name="Sheet2" sheetId="2" r:id="rId2"/>
    <sheet name="Sheet4" sheetId="4" r:id="rId3"/>
    <sheet name="Data_Entry" sheetId="6" r:id="rId4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E2" i="1"/>
  <c r="F2" i="1"/>
  <c r="G2" i="1"/>
  <c r="H2" i="1"/>
  <c r="I2" i="1"/>
  <c r="J2" i="1"/>
  <c r="K2" i="1"/>
  <c r="L2" i="1"/>
  <c r="M2" i="1"/>
  <c r="N2" i="1"/>
  <c r="A2" i="1"/>
  <c r="C2" i="1"/>
  <c r="A3" i="1"/>
  <c r="A81" i="1" l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</calcChain>
</file>

<file path=xl/sharedStrings.xml><?xml version="1.0" encoding="utf-8"?>
<sst xmlns="http://schemas.openxmlformats.org/spreadsheetml/2006/main" count="633" uniqueCount="242">
  <si>
    <t>File Name</t>
  </si>
  <si>
    <t xml:space="preserve">01_RLE_Joining Report </t>
  </si>
  <si>
    <t>02_RLE_Personal Details Form</t>
  </si>
  <si>
    <t>03_RLE_GHI Declaration Form</t>
  </si>
  <si>
    <t>04_RLE GPAI_Declaration Form</t>
  </si>
  <si>
    <t>04_1_RLE GTI_Declaration Form</t>
  </si>
  <si>
    <t>05_RLE_Form F_Gratuity Nomination</t>
  </si>
  <si>
    <t>06_RLE_Form-I_Nomination_Payment of Wages</t>
  </si>
  <si>
    <t>07_RLE_Form-Q-Appointment- Statutory</t>
  </si>
  <si>
    <t>08_RLE_PF Form 2</t>
  </si>
  <si>
    <t>09_RLE_PF DeclarationForm</t>
  </si>
  <si>
    <t>11_RLE_Requisition Form</t>
  </si>
  <si>
    <t>12_RLE_Background  Verification Form</t>
  </si>
  <si>
    <t>13_RLE_Induction Evaluation Form</t>
  </si>
  <si>
    <t>14_RLE_Induction Checklist Form</t>
  </si>
  <si>
    <t>15_RLE_Joining Day Check List</t>
  </si>
  <si>
    <t>Mr./Ms./Mrs.</t>
  </si>
  <si>
    <t>Y</t>
  </si>
  <si>
    <t>Full Name</t>
  </si>
  <si>
    <t>Father's Name</t>
  </si>
  <si>
    <t>DOB/DOB(Official)</t>
  </si>
  <si>
    <t>DOB(Actual)</t>
  </si>
  <si>
    <t>Gender</t>
  </si>
  <si>
    <t>Blood Group</t>
  </si>
  <si>
    <t>Martial Status</t>
  </si>
  <si>
    <t>Marriage Date</t>
  </si>
  <si>
    <t>Designation</t>
  </si>
  <si>
    <t>Department</t>
  </si>
  <si>
    <t>Location (Checkbox)</t>
  </si>
  <si>
    <t>Date of Joining (D.O.J)</t>
  </si>
  <si>
    <t>Hobbies</t>
  </si>
  <si>
    <t>Current Address</t>
  </si>
  <si>
    <t>Current Address Telephone no</t>
  </si>
  <si>
    <t>Permanent Address</t>
  </si>
  <si>
    <t>Permanent Address Telephone no</t>
  </si>
  <si>
    <t>Signature</t>
  </si>
  <si>
    <t>Family Name</t>
  </si>
  <si>
    <t>City</t>
  </si>
  <si>
    <t>State</t>
  </si>
  <si>
    <t>Pin</t>
  </si>
  <si>
    <t>Email ID</t>
  </si>
  <si>
    <t>Place of Birth</t>
  </si>
  <si>
    <t>Bank Name</t>
  </si>
  <si>
    <t>Bank Branch</t>
  </si>
  <si>
    <t>Bank Acc. No.</t>
  </si>
  <si>
    <t>Pan No.</t>
  </si>
  <si>
    <t>Passport No.</t>
  </si>
  <si>
    <t>Passport Dt. Of Issue</t>
  </si>
  <si>
    <t>Passport Dt. Of Expiry</t>
  </si>
  <si>
    <t>Nationality</t>
  </si>
  <si>
    <t>Active visas?</t>
  </si>
  <si>
    <t>Dependent Name</t>
  </si>
  <si>
    <t>Dependent Relationship</t>
  </si>
  <si>
    <t>Dependent Age</t>
  </si>
  <si>
    <t>Dependent Occupation</t>
  </si>
  <si>
    <t xml:space="preserve">% Share(Total sum should be 100%) </t>
  </si>
  <si>
    <t>Date of Submission</t>
  </si>
  <si>
    <t>Full address of the nominee(s)</t>
  </si>
  <si>
    <t>DOB of nominee(s)</t>
  </si>
  <si>
    <t>If nominee is a minor</t>
  </si>
  <si>
    <t>Religion</t>
  </si>
  <si>
    <t>Village</t>
  </si>
  <si>
    <t>Thana</t>
  </si>
  <si>
    <t>Sub-Division</t>
  </si>
  <si>
    <t>Post-Office</t>
  </si>
  <si>
    <t>District</t>
  </si>
  <si>
    <t>Employee Code</t>
  </si>
  <si>
    <t>DOB (DD-MON-YY)</t>
  </si>
  <si>
    <t>Mother's Name</t>
  </si>
  <si>
    <t>Father's DOB (dd-mon-yy)</t>
  </si>
  <si>
    <t>Mother's DOB (dd-mon-yy)</t>
  </si>
  <si>
    <t>Spouse Name</t>
  </si>
  <si>
    <t>Child 1 Name</t>
  </si>
  <si>
    <t>Child 2 Name</t>
  </si>
  <si>
    <t>Location</t>
  </si>
  <si>
    <t>Husband's Name</t>
  </si>
  <si>
    <t>Date of exit of previous company</t>
  </si>
  <si>
    <t>UAN ID</t>
  </si>
  <si>
    <t>Emergency Contact No</t>
  </si>
  <si>
    <t>Emergency Contact Name</t>
  </si>
  <si>
    <t>Subject Major</t>
  </si>
  <si>
    <t xml:space="preserve">Address of Institution </t>
  </si>
  <si>
    <t>Course Type</t>
  </si>
  <si>
    <t>Student ID No/Enrolment No/Seat No</t>
  </si>
  <si>
    <t xml:space="preserve">Duration of Course </t>
  </si>
  <si>
    <t>Name of University  Affiliated with</t>
  </si>
  <si>
    <t xml:space="preserve">Name of the Institute </t>
  </si>
  <si>
    <t>Degree</t>
  </si>
  <si>
    <t>CPI/Percentage</t>
  </si>
  <si>
    <t>Relationship in respect of above</t>
  </si>
  <si>
    <t>Whether earlier a member of the Employees' Provident Fund Scheme,1952?</t>
  </si>
  <si>
    <t xml:space="preserve">Whether earlier a member of the Employees' </t>
  </si>
  <si>
    <t>Previous PF Member ID</t>
  </si>
  <si>
    <t>Region code</t>
  </si>
  <si>
    <t>Office code</t>
  </si>
  <si>
    <t>Establishment ID</t>
  </si>
  <si>
    <t>Extension</t>
  </si>
  <si>
    <t>Account Number for PF</t>
  </si>
  <si>
    <t>International Worker</t>
  </si>
  <si>
    <t>Other than India</t>
  </si>
  <si>
    <t>Education Qualification</t>
  </si>
  <si>
    <t>Specially Abled</t>
  </si>
  <si>
    <t xml:space="preserve">NPR/Aadhar </t>
  </si>
  <si>
    <t>Driving Licence</t>
  </si>
  <si>
    <t>Election card</t>
  </si>
  <si>
    <t>Ration card</t>
  </si>
  <si>
    <t>ESIC card</t>
  </si>
  <si>
    <t>Institution Address</t>
  </si>
  <si>
    <t>Part Time/Full Time</t>
  </si>
  <si>
    <t>Work Experience Organization, Location</t>
  </si>
  <si>
    <t>Work Experience Designation</t>
  </si>
  <si>
    <t>Work Experience Department</t>
  </si>
  <si>
    <t>Work Experience Duration</t>
  </si>
  <si>
    <t>Reasons for leaving</t>
  </si>
  <si>
    <t>Total</t>
  </si>
  <si>
    <t>Ms</t>
  </si>
  <si>
    <t>D Srujana</t>
  </si>
  <si>
    <t>D Suresh</t>
  </si>
  <si>
    <t>-</t>
  </si>
  <si>
    <t>Female</t>
  </si>
  <si>
    <t>Unmarried</t>
  </si>
  <si>
    <t>GET</t>
  </si>
  <si>
    <t>ME</t>
  </si>
  <si>
    <t>BLR</t>
  </si>
  <si>
    <t>playing badminton</t>
  </si>
  <si>
    <t>Blr</t>
  </si>
  <si>
    <t>Srujana</t>
  </si>
  <si>
    <t>Ms.</t>
  </si>
  <si>
    <t>Suresh</t>
  </si>
  <si>
    <t>unmarried</t>
  </si>
  <si>
    <t>badminton</t>
  </si>
  <si>
    <t>raj</t>
  </si>
  <si>
    <t>Fathers_Name</t>
  </si>
  <si>
    <t>Blood_Group</t>
  </si>
  <si>
    <t>Martial_Status</t>
  </si>
  <si>
    <t>Marriage_Date</t>
  </si>
  <si>
    <t>Current_Address</t>
  </si>
  <si>
    <t>Permanent_Address</t>
  </si>
  <si>
    <t>Emergency_Contact_Name</t>
  </si>
  <si>
    <t>Emergency_Contact_Num</t>
  </si>
  <si>
    <t>Family_Name</t>
  </si>
  <si>
    <t>Email_ID</t>
  </si>
  <si>
    <t>Bank_Name</t>
  </si>
  <si>
    <t>Bank_Branch</t>
  </si>
  <si>
    <t>Bank_Acc_num</t>
  </si>
  <si>
    <t>Passport_num</t>
  </si>
  <si>
    <t>Passport_Date_Of_Issue</t>
  </si>
  <si>
    <t>Passport_Date_Of_Expiry</t>
  </si>
  <si>
    <t>Active_visas</t>
  </si>
  <si>
    <t>Dependent_Name</t>
  </si>
  <si>
    <t>Dependent_Relationship</t>
  </si>
  <si>
    <t>Dependent_Age</t>
  </si>
  <si>
    <t>Dependent_Occupation</t>
  </si>
  <si>
    <t xml:space="preserve">%_Share(Total_sum_should_be_100%) </t>
  </si>
  <si>
    <t>Date_of_Submission</t>
  </si>
  <si>
    <t>Full_address_of_the_nominee(s)</t>
  </si>
  <si>
    <t>DOB_of_nominee(s)</t>
  </si>
  <si>
    <t>If_nominee_is_a_minor</t>
  </si>
  <si>
    <t>Sub_Division</t>
  </si>
  <si>
    <t>Post_Office</t>
  </si>
  <si>
    <t>Employee_Code</t>
  </si>
  <si>
    <t>DOB(DD-MON-YY)</t>
  </si>
  <si>
    <t>Mothers_Name</t>
  </si>
  <si>
    <t>Fathers_DOB(dd-mon-yy)</t>
  </si>
  <si>
    <t>Mothers_DOB(dd-mon-yy)</t>
  </si>
  <si>
    <t>Spouse_Name</t>
  </si>
  <si>
    <t>Child_1_Name</t>
  </si>
  <si>
    <t>Husbands_Name</t>
  </si>
  <si>
    <t>Date_of_ exit_of_previous_company</t>
  </si>
  <si>
    <t>UAN_ID</t>
  </si>
  <si>
    <t>Subject_Major</t>
  </si>
  <si>
    <t xml:space="preserve">Address_of_Institution </t>
  </si>
  <si>
    <t>Course_Type</t>
  </si>
  <si>
    <t>Student_ID_No/Enrolment_No/Seat_No</t>
  </si>
  <si>
    <t xml:space="preserve">Duration_of_Course </t>
  </si>
  <si>
    <t>Name_of_University _Affiliated_with</t>
  </si>
  <si>
    <t xml:space="preserve">Name_of_the_Institute </t>
  </si>
  <si>
    <t>Relationship_in_respect_of_above</t>
  </si>
  <si>
    <t>Whether_earlier_a_member_of_the_Employees_Provident_Fund_Scheme_1952</t>
  </si>
  <si>
    <t>Whether_earlier_a_member_of_the_Employees</t>
  </si>
  <si>
    <t>Previous_PF_Member_ID</t>
  </si>
  <si>
    <t>Region_code</t>
  </si>
  <si>
    <t>Office_code</t>
  </si>
  <si>
    <t>Establishment_ID</t>
  </si>
  <si>
    <t>Account_Number_for_PF</t>
  </si>
  <si>
    <t>International_Worker</t>
  </si>
  <si>
    <t>Other_than_India</t>
  </si>
  <si>
    <t>Education_Qualification</t>
  </si>
  <si>
    <t>Specially_Abled</t>
  </si>
  <si>
    <t>Driving_Licence</t>
  </si>
  <si>
    <t>Election_card</t>
  </si>
  <si>
    <t>Ration_card</t>
  </si>
  <si>
    <t>ESIC_card</t>
  </si>
  <si>
    <t>Institution_Address</t>
  </si>
  <si>
    <t>Part_Time/Full_Time</t>
  </si>
  <si>
    <t>Work_Experience_Organization_ Location</t>
  </si>
  <si>
    <t>Work_Experience_Designation</t>
  </si>
  <si>
    <t>Work_Experience_Department</t>
  </si>
  <si>
    <t>Work_Experience_Duration</t>
  </si>
  <si>
    <t>Reasons_for_leaving</t>
  </si>
  <si>
    <t>Bangalore</t>
  </si>
  <si>
    <t>DOB(Official)</t>
  </si>
  <si>
    <t>O+</t>
  </si>
  <si>
    <t>Permanent_Address_Telephone_Num</t>
  </si>
  <si>
    <t>Current_Address_Telephone_Num</t>
  </si>
  <si>
    <t>Full_Name</t>
  </si>
  <si>
    <t>TPT,AP</t>
  </si>
  <si>
    <t>Darisa</t>
  </si>
  <si>
    <t>KA</t>
  </si>
  <si>
    <t>abc@gmail.com</t>
  </si>
  <si>
    <t>KNL</t>
  </si>
  <si>
    <t>ICICI</t>
  </si>
  <si>
    <t>Hennur</t>
  </si>
  <si>
    <t>GYL123</t>
  </si>
  <si>
    <t>Indian</t>
  </si>
  <si>
    <t>No</t>
  </si>
  <si>
    <t>Father</t>
  </si>
  <si>
    <t>Business</t>
  </si>
  <si>
    <t>HINDU</t>
  </si>
  <si>
    <t>TPT</t>
  </si>
  <si>
    <t>Chittoor</t>
  </si>
  <si>
    <t>Vani</t>
  </si>
  <si>
    <t>CSE</t>
  </si>
  <si>
    <t>NHCE,Kadubesenhalli</t>
  </si>
  <si>
    <t>B.E</t>
  </si>
  <si>
    <t>1nh13cs032</t>
  </si>
  <si>
    <t>4 years</t>
  </si>
  <si>
    <t>VTU</t>
  </si>
  <si>
    <t>NHCE</t>
  </si>
  <si>
    <t>no</t>
  </si>
  <si>
    <t>fg4788</t>
  </si>
  <si>
    <t>jcfh2</t>
  </si>
  <si>
    <t>iuo22</t>
  </si>
  <si>
    <t>hk25</t>
  </si>
  <si>
    <t>Ful time</t>
  </si>
  <si>
    <t>Pan_Num</t>
  </si>
  <si>
    <t>Place_Of_Birth</t>
  </si>
  <si>
    <t>Ashik Paul M</t>
  </si>
  <si>
    <t>Date_Of_Joining</t>
  </si>
  <si>
    <t>Dependent_Address</t>
  </si>
  <si>
    <t>Hudi,Bangalore</t>
  </si>
  <si>
    <t>Child_2_Name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</si>
</sst>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14" fontId="0" fillId="0" borderId="0" xfId="0" applyNumberFormat="1"/>
    <xf numFmtId="0" fontId="1" fillId="2" borderId="3" xfId="0" applyFont="1" applyFill="1" applyBorder="1"/>
    <xf numFmtId="9" fontId="0" fillId="0" borderId="0" xfId="0" applyNumberFormat="1"/>
  </cellXfs>
  <cellStyles count="1">
    <cellStyle name="Normal" xfId="0" builtinId="0"/>
  </cellStyles>
  <dxfs count="12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4</xdr:row>
          <xdr:rowOff>66675</xdr:rowOff>
        </xdr:from>
        <xdr:to>
          <xdr:col>4</xdr:col>
          <xdr:colOff>723900</xdr:colOff>
          <xdr:row>5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F2" totalsRowShown="0">
  <autoFilter ref="A1:AF2"/>
  <tableColumns count="32">
    <tableColumn id="1" name="Mr./Ms./Mrs."/>
    <tableColumn id="2" name="Full Name"/>
    <tableColumn id="3" name="Father's Name"/>
    <tableColumn id="4" name="DOB/DOB(Official)"/>
    <tableColumn id="5" name="DOB(Actual)"/>
    <tableColumn id="6" name="Gender"/>
    <tableColumn id="8" name="Martial Status"/>
    <tableColumn id="10" name="Designation"/>
    <tableColumn id="11" name="Department"/>
    <tableColumn id="12" name="Location (Checkbox)"/>
    <tableColumn id="13" name="Date of Joining (D.O.J)"/>
    <tableColumn id="14" name="Hobbies"/>
    <tableColumn id="15" name="Current Address"/>
    <tableColumn id="16" name="Current Address Telephone no"/>
    <tableColumn id="17" name="Permanent Address"/>
    <tableColumn id="18" name="Permanent Address Telephone no"/>
    <tableColumn id="19" name="Signature"/>
    <tableColumn id="98" name="Family Name"/>
    <tableColumn id="99" name="City"/>
    <tableColumn id="100" name="State"/>
    <tableColumn id="101" name="Pin"/>
    <tableColumn id="102" name="Email ID"/>
    <tableColumn id="103" name="Place of Birth"/>
    <tableColumn id="104" name="Bank Name"/>
    <tableColumn id="105" name="Bank Branch"/>
    <tableColumn id="106" name="Bank Acc. No."/>
    <tableColumn id="107" name="Pan No."/>
    <tableColumn id="108" name="Passport No."/>
    <tableColumn id="109" name="Passport Dt. Of Issue"/>
    <tableColumn id="110" name="Passport Dt. Of Expiry"/>
    <tableColumn id="111" name="Nationality"/>
    <tableColumn id="112" name="Active visas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4:E15" insertRow="1" totalsRowShown="0" headerRowDxfId="11" headerRowBorderDxfId="10" tableBorderDxfId="9">
  <autoFilter ref="A14:E15"/>
  <tableColumns count="5">
    <tableColumn id="14" name="Dependent Name"/>
    <tableColumn id="15" name="Dependent Relationship"/>
    <tableColumn id="16" name="Dependent Age"/>
    <tableColumn id="17" name="Dependent Occupation"/>
    <tableColumn id="20" name="% Share(Total sum should be 100%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1:T12" insertRow="1" totalsRowShown="0" headerRowDxfId="8" headerRowBorderDxfId="7" tableBorderDxfId="6">
  <autoFilter ref="A11:T12"/>
  <tableColumns count="20">
    <tableColumn id="1" name="Date of Submission"/>
    <tableColumn id="2" name="Full address of the nominee(s)"/>
    <tableColumn id="3" name="DOB of nominee(s)"/>
    <tableColumn id="4" name="If nominee is a minor"/>
    <tableColumn id="5" name="Religion"/>
    <tableColumn id="6" name="Village"/>
    <tableColumn id="7" name="Thana"/>
    <tableColumn id="8" name="Sub-Division"/>
    <tableColumn id="9" name="Post-Office"/>
    <tableColumn id="10" name="District"/>
    <tableColumn id="11" name="Employee Code"/>
    <tableColumn id="12" name="DOB (DD-MON-YY)"/>
    <tableColumn id="13" name="Mother's Name"/>
    <tableColumn id="14" name="Father's DOB (dd-mon-yy)"/>
    <tableColumn id="15" name="Mother's DOB (dd-mon-yy)"/>
    <tableColumn id="16" name="Spouse Name"/>
    <tableColumn id="17" name="Child 1 Name"/>
    <tableColumn id="18" name="Child 2 Name"/>
    <tableColumn id="19" name="Location"/>
    <tableColumn id="20" name="Husband's 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1:T22" insertRow="1" totalsRowShown="0" headerRowDxfId="5" headerRowBorderDxfId="4" tableBorderDxfId="3">
  <autoFilter ref="A21:T22"/>
  <tableColumns count="20">
    <tableColumn id="1" name="Date of exit of previous company"/>
    <tableColumn id="2" name="UAN ID"/>
    <tableColumn id="3" name="Emergency Contact No"/>
    <tableColumn id="4" name="Emergency Contact Name"/>
    <tableColumn id="5" name="Subject Major"/>
    <tableColumn id="6" name="Address of Institution "/>
    <tableColumn id="7" name="Course Type"/>
    <tableColumn id="8" name="Student ID No/Enrolment No/Seat No"/>
    <tableColumn id="9" name="Duration of Course "/>
    <tableColumn id="10" name="Name of University  Affiliated with"/>
    <tableColumn id="11" name="Name of the Institute "/>
    <tableColumn id="12" name="Degree"/>
    <tableColumn id="13" name="CPI/Percentage"/>
    <tableColumn id="14" name="Relationship in respect of above"/>
    <tableColumn id="15" name="Whether earlier a member of the Employees' Provident Fund Scheme,1952?"/>
    <tableColumn id="16" name="Whether earlier a member of the Employees' "/>
    <tableColumn id="17" name="Previous PF Member ID"/>
    <tableColumn id="18" name="Region code"/>
    <tableColumn id="19" name="Office code"/>
    <tableColumn id="20" name="Establishment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26:R27" insertRow="1" totalsRowShown="0" headerRowDxfId="2" headerRowBorderDxfId="1" tableBorderDxfId="0">
  <autoFilter ref="A26:R27"/>
  <tableColumns count="18">
    <tableColumn id="1" name="Extension"/>
    <tableColumn id="2" name="Account Number for PF"/>
    <tableColumn id="3" name="International Worker"/>
    <tableColumn id="4" name="Other than India"/>
    <tableColumn id="5" name="Education Qualification"/>
    <tableColumn id="6" name="Specially Abled"/>
    <tableColumn id="7" name="NPR/Aadhar "/>
    <tableColumn id="8" name="Driving Licence"/>
    <tableColumn id="9" name="Election card"/>
    <tableColumn id="10" name="Ration card"/>
    <tableColumn id="11" name="ESIC card"/>
    <tableColumn id="12" name="Institution Address"/>
    <tableColumn id="13" name="Part Time/Full Time"/>
    <tableColumn id="14" name="Work Experience Organization, Location"/>
    <tableColumn id="15" name="Work Experience Designation"/>
    <tableColumn id="16" name="Work Experience Department"/>
    <tableColumn id="17" name="Work Experience Duration"/>
    <tableColumn id="18" name="Reasons for leav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"/>
  <sheetViews>
    <sheetView workbookViewId="0">
      <selection activeCell="C32" sqref="C32"/>
    </sheetView>
  </sheetViews>
  <sheetFormatPr defaultRowHeight="15" x14ac:dyDescent="0.25"/>
  <cols>
    <col min="2" max="2" width="31.28515625" customWidth="1"/>
    <col min="3" max="3" width="19.85546875" customWidth="1"/>
    <col min="4" max="4" width="25.140625" customWidth="1"/>
    <col min="5" max="6" width="25.42578125" customWidth="1"/>
    <col min="7" max="7" width="26.85546875" customWidth="1"/>
    <col min="8" max="8" width="31" customWidth="1"/>
    <col min="9" max="9" width="40.28515625" customWidth="1"/>
    <col min="10" max="10" width="37.5703125" bestFit="1" customWidth="1"/>
    <col min="11" max="11" width="16.85546875" bestFit="1" customWidth="1"/>
    <col min="12" max="12" width="26" bestFit="1" customWidth="1"/>
    <col min="13" max="13" width="23.7109375" bestFit="1" customWidth="1"/>
    <col min="14" max="14" width="35.5703125" bestFit="1" customWidth="1"/>
    <col min="15" max="15" width="32" bestFit="1" customWidth="1"/>
    <col min="16" max="16" width="30.7109375" bestFit="1" customWidth="1"/>
    <col min="17" max="17" width="27.85546875" bestFit="1" customWidth="1"/>
  </cols>
  <sheetData>
    <row r="1" spans="1:17" x14ac:dyDescent="0.25">
      <c r="A1" t="s">
        <v>114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f>SUM(A3:A200)</f>
        <v>238</v>
      </c>
      <c r="C2">
        <f>COUNTIF(C3:C200,"Y")</f>
        <v>18</v>
      </c>
      <c r="D2">
        <f t="shared" ref="D2:N2" si="0">COUNTIF(D3:D200,"Y")</f>
        <v>39</v>
      </c>
      <c r="E2">
        <f t="shared" si="0"/>
        <v>11</v>
      </c>
      <c r="F2">
        <f t="shared" si="0"/>
        <v>15</v>
      </c>
      <c r="G2">
        <f t="shared" si="0"/>
        <v>15</v>
      </c>
      <c r="H2">
        <f t="shared" si="0"/>
        <v>21</v>
      </c>
      <c r="I2">
        <f t="shared" si="0"/>
        <v>14</v>
      </c>
      <c r="J2">
        <f t="shared" si="0"/>
        <v>12</v>
      </c>
      <c r="K2">
        <f t="shared" si="0"/>
        <v>20</v>
      </c>
      <c r="L2">
        <f t="shared" si="0"/>
        <v>38</v>
      </c>
      <c r="M2">
        <f t="shared" si="0"/>
        <v>14</v>
      </c>
      <c r="N2">
        <f t="shared" si="0"/>
        <v>21</v>
      </c>
    </row>
    <row r="3" spans="1:17" x14ac:dyDescent="0.25">
      <c r="A3">
        <f>COUNTIF(C3:N3,"Y")</f>
        <v>1</v>
      </c>
      <c r="B3" t="s">
        <v>16</v>
      </c>
      <c r="L3" t="s">
        <v>17</v>
      </c>
    </row>
    <row r="4" spans="1:17" x14ac:dyDescent="0.25">
      <c r="A4">
        <f t="shared" ref="A4:A67" si="1">COUNTIF(C4:N4,"Y")</f>
        <v>12</v>
      </c>
      <c r="B4" t="s">
        <v>18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</row>
    <row r="5" spans="1:17" x14ac:dyDescent="0.25">
      <c r="A5">
        <f t="shared" si="1"/>
        <v>6</v>
      </c>
      <c r="B5" t="s">
        <v>19</v>
      </c>
      <c r="C5" t="s">
        <v>17</v>
      </c>
      <c r="I5" t="s">
        <v>17</v>
      </c>
      <c r="J5" t="s">
        <v>17</v>
      </c>
      <c r="K5" t="s">
        <v>17</v>
      </c>
      <c r="L5" t="s">
        <v>17</v>
      </c>
      <c r="N5" t="s">
        <v>17</v>
      </c>
    </row>
    <row r="6" spans="1:17" x14ac:dyDescent="0.25">
      <c r="A6">
        <f t="shared" si="1"/>
        <v>8</v>
      </c>
      <c r="B6" t="s">
        <v>20</v>
      </c>
      <c r="C6" t="s">
        <v>17</v>
      </c>
      <c r="D6" t="s">
        <v>17</v>
      </c>
      <c r="F6" t="s">
        <v>17</v>
      </c>
      <c r="G6" t="s">
        <v>17</v>
      </c>
      <c r="K6" t="s">
        <v>17</v>
      </c>
      <c r="L6" t="s">
        <v>17</v>
      </c>
      <c r="M6" t="s">
        <v>17</v>
      </c>
      <c r="N6" t="s">
        <v>17</v>
      </c>
    </row>
    <row r="7" spans="1:17" x14ac:dyDescent="0.25">
      <c r="A7">
        <f t="shared" si="1"/>
        <v>3</v>
      </c>
      <c r="B7" t="s">
        <v>21</v>
      </c>
      <c r="C7" t="s">
        <v>17</v>
      </c>
      <c r="I7" t="s">
        <v>17</v>
      </c>
      <c r="J7" t="s">
        <v>17</v>
      </c>
    </row>
    <row r="8" spans="1:17" x14ac:dyDescent="0.25">
      <c r="A8">
        <f t="shared" si="1"/>
        <v>6</v>
      </c>
      <c r="B8" t="s">
        <v>22</v>
      </c>
      <c r="C8" t="s">
        <v>17</v>
      </c>
      <c r="E8" t="s">
        <v>17</v>
      </c>
      <c r="H8" t="s">
        <v>17</v>
      </c>
      <c r="I8" t="s">
        <v>17</v>
      </c>
      <c r="K8" t="s">
        <v>17</v>
      </c>
      <c r="L8" t="s">
        <v>17</v>
      </c>
    </row>
    <row r="9" spans="1:17" x14ac:dyDescent="0.25">
      <c r="A9">
        <f t="shared" si="1"/>
        <v>3</v>
      </c>
      <c r="B9" t="s">
        <v>23</v>
      </c>
      <c r="C9" t="s">
        <v>17</v>
      </c>
      <c r="D9" t="s">
        <v>17</v>
      </c>
      <c r="M9" t="s">
        <v>17</v>
      </c>
    </row>
    <row r="10" spans="1:17" x14ac:dyDescent="0.25">
      <c r="A10">
        <f t="shared" si="1"/>
        <v>6</v>
      </c>
      <c r="B10" t="s">
        <v>24</v>
      </c>
      <c r="C10" t="s">
        <v>17</v>
      </c>
      <c r="D10" t="s">
        <v>17</v>
      </c>
      <c r="H10" t="s">
        <v>17</v>
      </c>
      <c r="I10" t="s">
        <v>17</v>
      </c>
      <c r="K10" t="s">
        <v>17</v>
      </c>
      <c r="L10" t="s">
        <v>17</v>
      </c>
    </row>
    <row r="11" spans="1:17" x14ac:dyDescent="0.25">
      <c r="A11">
        <f t="shared" si="1"/>
        <v>1</v>
      </c>
      <c r="B11" t="s">
        <v>25</v>
      </c>
      <c r="C11" t="s">
        <v>17</v>
      </c>
    </row>
    <row r="12" spans="1:17" x14ac:dyDescent="0.25">
      <c r="A12">
        <f t="shared" si="1"/>
        <v>6</v>
      </c>
      <c r="B12" t="s">
        <v>26</v>
      </c>
      <c r="C12" t="s">
        <v>17</v>
      </c>
      <c r="F12" t="s">
        <v>17</v>
      </c>
      <c r="G12" t="s">
        <v>17</v>
      </c>
      <c r="H12" t="s">
        <v>17</v>
      </c>
      <c r="J12" t="s">
        <v>17</v>
      </c>
      <c r="M12" t="s">
        <v>17</v>
      </c>
    </row>
    <row r="13" spans="1:17" x14ac:dyDescent="0.25">
      <c r="A13">
        <f t="shared" si="1"/>
        <v>5</v>
      </c>
      <c r="B13" t="s">
        <v>27</v>
      </c>
      <c r="C13" t="s">
        <v>17</v>
      </c>
      <c r="F13" t="s">
        <v>17</v>
      </c>
      <c r="G13" t="s">
        <v>17</v>
      </c>
      <c r="H13" t="s">
        <v>17</v>
      </c>
      <c r="M13" t="s">
        <v>17</v>
      </c>
    </row>
    <row r="14" spans="1:17" x14ac:dyDescent="0.25">
      <c r="A14">
        <f t="shared" si="1"/>
        <v>1</v>
      </c>
      <c r="B14" t="s">
        <v>28</v>
      </c>
      <c r="C14" t="s">
        <v>17</v>
      </c>
    </row>
    <row r="15" spans="1:17" x14ac:dyDescent="0.25">
      <c r="A15">
        <f t="shared" si="1"/>
        <v>9</v>
      </c>
      <c r="B15" t="s">
        <v>29</v>
      </c>
      <c r="C15" t="s">
        <v>17</v>
      </c>
      <c r="D15" t="s">
        <v>17</v>
      </c>
      <c r="F15" t="s">
        <v>17</v>
      </c>
      <c r="G15" t="s">
        <v>17</v>
      </c>
      <c r="H15" t="s">
        <v>17</v>
      </c>
      <c r="J15" t="s">
        <v>17</v>
      </c>
      <c r="K15" t="s">
        <v>17</v>
      </c>
      <c r="L15" t="s">
        <v>17</v>
      </c>
      <c r="M15" t="s">
        <v>17</v>
      </c>
    </row>
    <row r="16" spans="1:17" x14ac:dyDescent="0.25">
      <c r="A16">
        <f t="shared" si="1"/>
        <v>1</v>
      </c>
      <c r="B16" t="s">
        <v>30</v>
      </c>
      <c r="C16" t="s">
        <v>17</v>
      </c>
    </row>
    <row r="17" spans="1:14" x14ac:dyDescent="0.25">
      <c r="A17">
        <f t="shared" si="1"/>
        <v>6</v>
      </c>
      <c r="B17" t="s">
        <v>31</v>
      </c>
      <c r="C17" t="s">
        <v>17</v>
      </c>
      <c r="D17" t="s">
        <v>17</v>
      </c>
      <c r="I17" t="s">
        <v>17</v>
      </c>
      <c r="J17" t="s">
        <v>17</v>
      </c>
      <c r="K17" t="s">
        <v>17</v>
      </c>
      <c r="N17" t="s">
        <v>17</v>
      </c>
    </row>
    <row r="18" spans="1:14" x14ac:dyDescent="0.25">
      <c r="A18">
        <f t="shared" si="1"/>
        <v>2</v>
      </c>
      <c r="B18" t="s">
        <v>32</v>
      </c>
      <c r="C18" t="s">
        <v>17</v>
      </c>
      <c r="N18" t="s">
        <v>17</v>
      </c>
    </row>
    <row r="19" spans="1:14" x14ac:dyDescent="0.25">
      <c r="A19">
        <f t="shared" si="1"/>
        <v>8</v>
      </c>
      <c r="B19" t="s">
        <v>33</v>
      </c>
      <c r="C19" t="s">
        <v>17</v>
      </c>
      <c r="D19" t="s">
        <v>17</v>
      </c>
      <c r="H19" t="s">
        <v>17</v>
      </c>
      <c r="I19" t="s">
        <v>17</v>
      </c>
      <c r="J19" t="s">
        <v>17</v>
      </c>
      <c r="K19" t="s">
        <v>17</v>
      </c>
      <c r="M19" t="s">
        <v>17</v>
      </c>
      <c r="N19" t="s">
        <v>17</v>
      </c>
    </row>
    <row r="20" spans="1:14" x14ac:dyDescent="0.25">
      <c r="A20">
        <f t="shared" si="1"/>
        <v>4</v>
      </c>
      <c r="B20" t="s">
        <v>34</v>
      </c>
      <c r="C20" t="s">
        <v>17</v>
      </c>
      <c r="D20" t="s">
        <v>17</v>
      </c>
      <c r="L20" t="s">
        <v>17</v>
      </c>
      <c r="N20" t="s">
        <v>17</v>
      </c>
    </row>
    <row r="21" spans="1:14" x14ac:dyDescent="0.25">
      <c r="A21">
        <f t="shared" si="1"/>
        <v>9</v>
      </c>
      <c r="B21" t="s">
        <v>35</v>
      </c>
      <c r="C21" t="s">
        <v>17</v>
      </c>
      <c r="D21" t="s">
        <v>17</v>
      </c>
      <c r="E21" t="s">
        <v>17</v>
      </c>
      <c r="F21" t="s">
        <v>17</v>
      </c>
      <c r="G21" t="s">
        <v>17</v>
      </c>
      <c r="H21" t="s">
        <v>17</v>
      </c>
      <c r="J21" t="s">
        <v>17</v>
      </c>
      <c r="K21" t="s">
        <v>17</v>
      </c>
      <c r="L21" t="s">
        <v>17</v>
      </c>
    </row>
    <row r="22" spans="1:14" x14ac:dyDescent="0.25">
      <c r="A22">
        <f t="shared" si="1"/>
        <v>1</v>
      </c>
      <c r="B22" t="s">
        <v>36</v>
      </c>
      <c r="D22" t="s">
        <v>17</v>
      </c>
    </row>
    <row r="23" spans="1:14" x14ac:dyDescent="0.25">
      <c r="A23">
        <f t="shared" si="1"/>
        <v>1</v>
      </c>
      <c r="B23" t="s">
        <v>37</v>
      </c>
      <c r="D23" t="s">
        <v>17</v>
      </c>
    </row>
    <row r="24" spans="1:14" x14ac:dyDescent="0.25">
      <c r="A24">
        <f t="shared" si="1"/>
        <v>2</v>
      </c>
      <c r="B24" t="s">
        <v>38</v>
      </c>
      <c r="D24" t="s">
        <v>17</v>
      </c>
      <c r="H24" t="s">
        <v>17</v>
      </c>
    </row>
    <row r="25" spans="1:14" x14ac:dyDescent="0.25">
      <c r="A25">
        <f t="shared" si="1"/>
        <v>1</v>
      </c>
      <c r="B25" t="s">
        <v>39</v>
      </c>
      <c r="D25" t="s">
        <v>17</v>
      </c>
    </row>
    <row r="26" spans="1:14" x14ac:dyDescent="0.25">
      <c r="A26">
        <f t="shared" si="1"/>
        <v>3</v>
      </c>
      <c r="B26" t="s">
        <v>40</v>
      </c>
      <c r="D26" t="s">
        <v>17</v>
      </c>
      <c r="L26" t="s">
        <v>17</v>
      </c>
      <c r="M26" t="s">
        <v>17</v>
      </c>
    </row>
    <row r="27" spans="1:14" x14ac:dyDescent="0.25">
      <c r="A27">
        <f t="shared" si="1"/>
        <v>1</v>
      </c>
      <c r="B27" t="s">
        <v>41</v>
      </c>
      <c r="D27" t="s">
        <v>17</v>
      </c>
    </row>
    <row r="28" spans="1:14" x14ac:dyDescent="0.25">
      <c r="A28">
        <f t="shared" si="1"/>
        <v>3</v>
      </c>
      <c r="B28" t="s">
        <v>42</v>
      </c>
      <c r="D28" t="s">
        <v>17</v>
      </c>
      <c r="F28" t="s">
        <v>17</v>
      </c>
      <c r="G28" t="s">
        <v>17</v>
      </c>
    </row>
    <row r="29" spans="1:14" x14ac:dyDescent="0.25">
      <c r="A29">
        <f t="shared" si="1"/>
        <v>3</v>
      </c>
      <c r="B29" t="s">
        <v>43</v>
      </c>
      <c r="D29" t="s">
        <v>17</v>
      </c>
      <c r="F29" t="s">
        <v>17</v>
      </c>
      <c r="G29" t="s">
        <v>17</v>
      </c>
    </row>
    <row r="30" spans="1:14" x14ac:dyDescent="0.25">
      <c r="A30">
        <f t="shared" si="1"/>
        <v>5</v>
      </c>
      <c r="B30" t="s">
        <v>44</v>
      </c>
      <c r="D30" t="s">
        <v>17</v>
      </c>
      <c r="F30" t="s">
        <v>17</v>
      </c>
      <c r="G30" t="s">
        <v>17</v>
      </c>
      <c r="K30" t="s">
        <v>17</v>
      </c>
      <c r="L30" t="s">
        <v>17</v>
      </c>
    </row>
    <row r="31" spans="1:14" x14ac:dyDescent="0.25">
      <c r="A31">
        <f t="shared" si="1"/>
        <v>3</v>
      </c>
      <c r="B31" t="s">
        <v>45</v>
      </c>
      <c r="D31" t="s">
        <v>17</v>
      </c>
      <c r="L31" t="s">
        <v>17</v>
      </c>
      <c r="N31" t="s">
        <v>17</v>
      </c>
    </row>
    <row r="32" spans="1:14" x14ac:dyDescent="0.25">
      <c r="A32">
        <f t="shared" si="1"/>
        <v>3</v>
      </c>
      <c r="B32" t="s">
        <v>46</v>
      </c>
      <c r="D32" t="s">
        <v>17</v>
      </c>
      <c r="L32" t="s">
        <v>17</v>
      </c>
      <c r="N32" t="s">
        <v>17</v>
      </c>
    </row>
    <row r="33" spans="1:14" x14ac:dyDescent="0.25">
      <c r="A33">
        <f t="shared" si="1"/>
        <v>3</v>
      </c>
      <c r="B33" t="s">
        <v>47</v>
      </c>
      <c r="D33" t="s">
        <v>17</v>
      </c>
      <c r="L33" t="s">
        <v>17</v>
      </c>
      <c r="N33" t="s">
        <v>17</v>
      </c>
    </row>
    <row r="34" spans="1:14" x14ac:dyDescent="0.25">
      <c r="A34">
        <f t="shared" si="1"/>
        <v>3</v>
      </c>
      <c r="B34" t="s">
        <v>48</v>
      </c>
      <c r="D34" t="s">
        <v>17</v>
      </c>
      <c r="L34" t="s">
        <v>17</v>
      </c>
      <c r="N34" t="s">
        <v>17</v>
      </c>
    </row>
    <row r="35" spans="1:14" x14ac:dyDescent="0.25">
      <c r="A35">
        <f t="shared" si="1"/>
        <v>2</v>
      </c>
      <c r="B35" t="s">
        <v>49</v>
      </c>
      <c r="D35" t="s">
        <v>17</v>
      </c>
      <c r="N35" t="s">
        <v>17</v>
      </c>
    </row>
    <row r="36" spans="1:14" x14ac:dyDescent="0.25">
      <c r="A36">
        <f t="shared" si="1"/>
        <v>1</v>
      </c>
      <c r="B36" t="s">
        <v>50</v>
      </c>
      <c r="D36" t="s">
        <v>17</v>
      </c>
    </row>
    <row r="37" spans="1:14" x14ac:dyDescent="0.25">
      <c r="A37">
        <f t="shared" si="1"/>
        <v>6</v>
      </c>
      <c r="B37" t="s">
        <v>51</v>
      </c>
      <c r="D37" t="s">
        <v>17</v>
      </c>
      <c r="F37" t="s">
        <v>17</v>
      </c>
      <c r="G37" t="s">
        <v>17</v>
      </c>
      <c r="H37" t="s">
        <v>17</v>
      </c>
      <c r="I37" t="s">
        <v>17</v>
      </c>
      <c r="K37" t="s">
        <v>17</v>
      </c>
    </row>
    <row r="38" spans="1:14" x14ac:dyDescent="0.25">
      <c r="A38">
        <f t="shared" si="1"/>
        <v>5</v>
      </c>
      <c r="B38" t="s">
        <v>52</v>
      </c>
      <c r="D38" t="s">
        <v>17</v>
      </c>
      <c r="F38" t="s">
        <v>17</v>
      </c>
      <c r="G38" t="s">
        <v>17</v>
      </c>
      <c r="H38" t="s">
        <v>17</v>
      </c>
      <c r="K38" t="s">
        <v>17</v>
      </c>
    </row>
    <row r="39" spans="1:14" x14ac:dyDescent="0.25">
      <c r="A39">
        <f t="shared" si="1"/>
        <v>2</v>
      </c>
      <c r="B39" t="s">
        <v>53</v>
      </c>
      <c r="D39" t="s">
        <v>17</v>
      </c>
      <c r="H39" t="s">
        <v>17</v>
      </c>
    </row>
    <row r="40" spans="1:14" x14ac:dyDescent="0.25">
      <c r="A40">
        <f t="shared" si="1"/>
        <v>1</v>
      </c>
      <c r="B40" t="s">
        <v>54</v>
      </c>
      <c r="D40" t="s">
        <v>17</v>
      </c>
    </row>
    <row r="41" spans="1:14" x14ac:dyDescent="0.25">
      <c r="A41">
        <f t="shared" si="1"/>
        <v>5</v>
      </c>
      <c r="B41" t="s">
        <v>55</v>
      </c>
      <c r="F41" t="s">
        <v>17</v>
      </c>
      <c r="G41" t="s">
        <v>17</v>
      </c>
      <c r="H41" t="s">
        <v>17</v>
      </c>
      <c r="I41" t="s">
        <v>17</v>
      </c>
      <c r="K41" t="s">
        <v>17</v>
      </c>
    </row>
    <row r="42" spans="1:14" x14ac:dyDescent="0.25">
      <c r="A42">
        <f>COUNTIF(C42:N42,"Y")</f>
        <v>6</v>
      </c>
      <c r="B42" t="s">
        <v>56</v>
      </c>
      <c r="E42" t="s">
        <v>17</v>
      </c>
      <c r="F42" t="s">
        <v>17</v>
      </c>
      <c r="G42" t="s">
        <v>17</v>
      </c>
      <c r="I42" t="s">
        <v>17</v>
      </c>
      <c r="J42" t="s">
        <v>17</v>
      </c>
      <c r="K42" t="s">
        <v>17</v>
      </c>
    </row>
    <row r="43" spans="1:14" x14ac:dyDescent="0.25">
      <c r="A43">
        <f t="shared" si="1"/>
        <v>3</v>
      </c>
      <c r="B43" t="s">
        <v>57</v>
      </c>
      <c r="H43" t="s">
        <v>17</v>
      </c>
      <c r="I43" t="s">
        <v>17</v>
      </c>
      <c r="K43" t="s">
        <v>17</v>
      </c>
    </row>
    <row r="44" spans="1:14" x14ac:dyDescent="0.25">
      <c r="A44">
        <f t="shared" si="1"/>
        <v>2</v>
      </c>
      <c r="B44" t="s">
        <v>58</v>
      </c>
      <c r="I44" t="s">
        <v>17</v>
      </c>
      <c r="K44" t="s">
        <v>17</v>
      </c>
    </row>
    <row r="45" spans="1:14" x14ac:dyDescent="0.25">
      <c r="A45">
        <f t="shared" si="1"/>
        <v>1</v>
      </c>
      <c r="B45" t="s">
        <v>59</v>
      </c>
      <c r="K45" t="s">
        <v>17</v>
      </c>
    </row>
    <row r="46" spans="1:14" x14ac:dyDescent="0.25">
      <c r="A46">
        <f t="shared" si="1"/>
        <v>1</v>
      </c>
      <c r="B46" t="s">
        <v>60</v>
      </c>
      <c r="H46" t="s">
        <v>17</v>
      </c>
    </row>
    <row r="47" spans="1:14" x14ac:dyDescent="0.25">
      <c r="A47">
        <f t="shared" si="1"/>
        <v>1</v>
      </c>
      <c r="B47" t="s">
        <v>61</v>
      </c>
      <c r="H47" t="s">
        <v>17</v>
      </c>
    </row>
    <row r="48" spans="1:14" x14ac:dyDescent="0.25">
      <c r="A48">
        <f t="shared" si="1"/>
        <v>1</v>
      </c>
      <c r="B48" t="s">
        <v>62</v>
      </c>
      <c r="H48" t="s">
        <v>17</v>
      </c>
    </row>
    <row r="49" spans="1:13" x14ac:dyDescent="0.25">
      <c r="A49">
        <f t="shared" si="1"/>
        <v>1</v>
      </c>
      <c r="B49" t="s">
        <v>63</v>
      </c>
      <c r="H49" t="s">
        <v>17</v>
      </c>
    </row>
    <row r="50" spans="1:13" x14ac:dyDescent="0.25">
      <c r="A50">
        <f t="shared" si="1"/>
        <v>1</v>
      </c>
      <c r="B50" t="s">
        <v>64</v>
      </c>
      <c r="H50" t="s">
        <v>17</v>
      </c>
    </row>
    <row r="51" spans="1:13" x14ac:dyDescent="0.25">
      <c r="A51">
        <f t="shared" si="1"/>
        <v>1</v>
      </c>
      <c r="B51" t="s">
        <v>65</v>
      </c>
      <c r="H51" t="s">
        <v>17</v>
      </c>
    </row>
    <row r="52" spans="1:13" x14ac:dyDescent="0.25">
      <c r="A52">
        <f t="shared" si="1"/>
        <v>5</v>
      </c>
      <c r="B52" t="s">
        <v>66</v>
      </c>
      <c r="E52" t="s">
        <v>17</v>
      </c>
      <c r="F52" t="s">
        <v>17</v>
      </c>
      <c r="G52" t="s">
        <v>17</v>
      </c>
      <c r="J52" t="s">
        <v>17</v>
      </c>
      <c r="M52" t="s">
        <v>17</v>
      </c>
    </row>
    <row r="53" spans="1:13" x14ac:dyDescent="0.25">
      <c r="A53">
        <f t="shared" si="1"/>
        <v>1</v>
      </c>
      <c r="B53" t="s">
        <v>67</v>
      </c>
      <c r="E53" t="s">
        <v>17</v>
      </c>
    </row>
    <row r="54" spans="1:13" x14ac:dyDescent="0.25">
      <c r="A54">
        <f t="shared" si="1"/>
        <v>1</v>
      </c>
      <c r="B54" t="s">
        <v>68</v>
      </c>
      <c r="E54" t="s">
        <v>17</v>
      </c>
    </row>
    <row r="55" spans="1:13" x14ac:dyDescent="0.25">
      <c r="A55">
        <f t="shared" si="1"/>
        <v>0</v>
      </c>
      <c r="B55" t="s">
        <v>69</v>
      </c>
    </row>
    <row r="56" spans="1:13" x14ac:dyDescent="0.25">
      <c r="A56">
        <f t="shared" si="1"/>
        <v>0</v>
      </c>
      <c r="B56" t="s">
        <v>70</v>
      </c>
    </row>
    <row r="57" spans="1:13" x14ac:dyDescent="0.25">
      <c r="A57">
        <f t="shared" si="1"/>
        <v>2</v>
      </c>
      <c r="B57" t="s">
        <v>71</v>
      </c>
      <c r="E57" t="s">
        <v>17</v>
      </c>
      <c r="M57" t="s">
        <v>17</v>
      </c>
    </row>
    <row r="58" spans="1:13" x14ac:dyDescent="0.25">
      <c r="A58">
        <f t="shared" si="1"/>
        <v>2</v>
      </c>
      <c r="B58" t="s">
        <v>72</v>
      </c>
      <c r="E58" t="s">
        <v>17</v>
      </c>
      <c r="M58" t="s">
        <v>17</v>
      </c>
    </row>
    <row r="59" spans="1:13" x14ac:dyDescent="0.25">
      <c r="A59">
        <f t="shared" si="1"/>
        <v>2</v>
      </c>
      <c r="B59" t="s">
        <v>73</v>
      </c>
      <c r="E59" t="s">
        <v>17</v>
      </c>
      <c r="M59" t="s">
        <v>17</v>
      </c>
    </row>
    <row r="60" spans="1:13" x14ac:dyDescent="0.25">
      <c r="A60">
        <f t="shared" si="1"/>
        <v>7</v>
      </c>
      <c r="B60" t="s">
        <v>74</v>
      </c>
      <c r="E60" t="s">
        <v>17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L60" t="s">
        <v>17</v>
      </c>
    </row>
    <row r="61" spans="1:13" x14ac:dyDescent="0.25">
      <c r="A61">
        <f t="shared" si="1"/>
        <v>4</v>
      </c>
      <c r="B61" t="s">
        <v>75</v>
      </c>
      <c r="I61" t="s">
        <v>17</v>
      </c>
      <c r="J61" t="s">
        <v>17</v>
      </c>
      <c r="K61" t="s">
        <v>17</v>
      </c>
      <c r="L61" t="s">
        <v>17</v>
      </c>
    </row>
    <row r="62" spans="1:13" x14ac:dyDescent="0.25">
      <c r="A62">
        <f t="shared" si="1"/>
        <v>1</v>
      </c>
      <c r="B62" t="s">
        <v>76</v>
      </c>
      <c r="L62" t="s">
        <v>17</v>
      </c>
    </row>
    <row r="63" spans="1:13" x14ac:dyDescent="0.25">
      <c r="A63">
        <f t="shared" si="1"/>
        <v>2</v>
      </c>
      <c r="B63" t="s">
        <v>77</v>
      </c>
      <c r="K63" t="s">
        <v>17</v>
      </c>
      <c r="L63" t="s">
        <v>17</v>
      </c>
    </row>
    <row r="64" spans="1:13" x14ac:dyDescent="0.25">
      <c r="A64">
        <f t="shared" si="1"/>
        <v>1</v>
      </c>
      <c r="B64" t="s">
        <v>78</v>
      </c>
      <c r="M64" t="s">
        <v>17</v>
      </c>
    </row>
    <row r="65" spans="1:14" x14ac:dyDescent="0.25">
      <c r="A65">
        <f t="shared" si="1"/>
        <v>1</v>
      </c>
      <c r="B65" t="s">
        <v>79</v>
      </c>
      <c r="M65" t="s">
        <v>17</v>
      </c>
    </row>
    <row r="66" spans="1:14" x14ac:dyDescent="0.25">
      <c r="A66">
        <f t="shared" si="1"/>
        <v>2</v>
      </c>
      <c r="B66" t="s">
        <v>80</v>
      </c>
      <c r="D66" t="s">
        <v>17</v>
      </c>
      <c r="N66" t="s">
        <v>17</v>
      </c>
    </row>
    <row r="67" spans="1:14" x14ac:dyDescent="0.25">
      <c r="A67">
        <f t="shared" si="1"/>
        <v>1</v>
      </c>
      <c r="B67" t="s">
        <v>81</v>
      </c>
      <c r="N67" t="s">
        <v>17</v>
      </c>
    </row>
    <row r="68" spans="1:14" x14ac:dyDescent="0.25">
      <c r="A68">
        <f t="shared" ref="A68:A80" si="2">COUNTIF(C68:N68,"Y")</f>
        <v>1</v>
      </c>
      <c r="B68" t="s">
        <v>82</v>
      </c>
      <c r="N68" t="s">
        <v>17</v>
      </c>
    </row>
    <row r="69" spans="1:14" x14ac:dyDescent="0.25">
      <c r="A69">
        <f t="shared" si="2"/>
        <v>1</v>
      </c>
      <c r="B69" t="s">
        <v>83</v>
      </c>
      <c r="N69" t="s">
        <v>17</v>
      </c>
    </row>
    <row r="70" spans="1:14" x14ac:dyDescent="0.25">
      <c r="A70">
        <f t="shared" si="2"/>
        <v>2</v>
      </c>
      <c r="B70" t="s">
        <v>84</v>
      </c>
      <c r="D70" t="s">
        <v>17</v>
      </c>
      <c r="N70" t="s">
        <v>17</v>
      </c>
    </row>
    <row r="71" spans="1:14" ht="30" x14ac:dyDescent="0.25">
      <c r="A71">
        <f t="shared" si="2"/>
        <v>1</v>
      </c>
      <c r="B71" s="1" t="s">
        <v>85</v>
      </c>
      <c r="N71" t="s">
        <v>17</v>
      </c>
    </row>
    <row r="72" spans="1:14" x14ac:dyDescent="0.25">
      <c r="A72">
        <f t="shared" si="2"/>
        <v>2</v>
      </c>
      <c r="B72" t="s">
        <v>86</v>
      </c>
      <c r="D72" t="s">
        <v>17</v>
      </c>
      <c r="N72" t="s">
        <v>17</v>
      </c>
    </row>
    <row r="73" spans="1:14" x14ac:dyDescent="0.25">
      <c r="A73">
        <f t="shared" si="2"/>
        <v>2</v>
      </c>
      <c r="B73" t="s">
        <v>87</v>
      </c>
      <c r="L73" t="s">
        <v>17</v>
      </c>
      <c r="N73" t="s">
        <v>17</v>
      </c>
    </row>
    <row r="74" spans="1:14" x14ac:dyDescent="0.25">
      <c r="A74">
        <f t="shared" si="2"/>
        <v>1</v>
      </c>
      <c r="B74" t="s">
        <v>88</v>
      </c>
      <c r="D74" t="s">
        <v>17</v>
      </c>
    </row>
    <row r="75" spans="1:14" x14ac:dyDescent="0.25">
      <c r="A75">
        <f t="shared" si="2"/>
        <v>1</v>
      </c>
      <c r="B75" t="s">
        <v>89</v>
      </c>
      <c r="L75" t="s">
        <v>17</v>
      </c>
    </row>
    <row r="76" spans="1:14" x14ac:dyDescent="0.25">
      <c r="A76">
        <f t="shared" si="2"/>
        <v>1</v>
      </c>
      <c r="B76" t="s">
        <v>90</v>
      </c>
      <c r="L76" t="s">
        <v>17</v>
      </c>
    </row>
    <row r="77" spans="1:14" x14ac:dyDescent="0.25">
      <c r="A77">
        <f t="shared" si="2"/>
        <v>1</v>
      </c>
      <c r="B77" t="s">
        <v>91</v>
      </c>
      <c r="L77" t="s">
        <v>17</v>
      </c>
    </row>
    <row r="78" spans="1:14" x14ac:dyDescent="0.25">
      <c r="A78">
        <f t="shared" si="2"/>
        <v>2</v>
      </c>
      <c r="B78" t="s">
        <v>92</v>
      </c>
      <c r="K78" t="s">
        <v>17</v>
      </c>
      <c r="L78" t="s">
        <v>17</v>
      </c>
    </row>
    <row r="79" spans="1:14" x14ac:dyDescent="0.25">
      <c r="A79">
        <f t="shared" si="2"/>
        <v>1</v>
      </c>
      <c r="B79" t="s">
        <v>93</v>
      </c>
      <c r="L79" t="s">
        <v>17</v>
      </c>
    </row>
    <row r="80" spans="1:14" x14ac:dyDescent="0.25">
      <c r="A80">
        <f t="shared" si="2"/>
        <v>1</v>
      </c>
      <c r="B80" t="s">
        <v>94</v>
      </c>
      <c r="L80" t="s">
        <v>17</v>
      </c>
    </row>
    <row r="81" spans="1:14" x14ac:dyDescent="0.25">
      <c r="A81">
        <f>COUNTIF(C81:N81,"Y")</f>
        <v>1</v>
      </c>
      <c r="B81" t="s">
        <v>95</v>
      </c>
      <c r="L81" t="s">
        <v>17</v>
      </c>
    </row>
    <row r="82" spans="1:14" x14ac:dyDescent="0.25">
      <c r="A82">
        <f t="shared" ref="A82:A99" si="3">COUNTIF(C82:N82,"Y")</f>
        <v>1</v>
      </c>
      <c r="B82" t="s">
        <v>96</v>
      </c>
      <c r="L82" t="s">
        <v>17</v>
      </c>
    </row>
    <row r="83" spans="1:14" x14ac:dyDescent="0.25">
      <c r="A83">
        <f t="shared" si="3"/>
        <v>1</v>
      </c>
      <c r="B83" t="s">
        <v>97</v>
      </c>
      <c r="L83" t="s">
        <v>17</v>
      </c>
    </row>
    <row r="84" spans="1:14" x14ac:dyDescent="0.25">
      <c r="A84">
        <f t="shared" si="3"/>
        <v>1</v>
      </c>
      <c r="B84" t="s">
        <v>98</v>
      </c>
      <c r="L84" t="s">
        <v>17</v>
      </c>
    </row>
    <row r="85" spans="1:14" x14ac:dyDescent="0.25">
      <c r="A85">
        <f t="shared" si="3"/>
        <v>1</v>
      </c>
      <c r="B85" t="s">
        <v>99</v>
      </c>
      <c r="L85" t="s">
        <v>17</v>
      </c>
    </row>
    <row r="86" spans="1:14" x14ac:dyDescent="0.25">
      <c r="A86">
        <f t="shared" si="3"/>
        <v>2</v>
      </c>
      <c r="B86" t="s">
        <v>100</v>
      </c>
      <c r="D86" t="s">
        <v>17</v>
      </c>
      <c r="L86" t="s">
        <v>17</v>
      </c>
    </row>
    <row r="87" spans="1:14" x14ac:dyDescent="0.25">
      <c r="A87">
        <f t="shared" si="3"/>
        <v>1</v>
      </c>
      <c r="B87" t="s">
        <v>101</v>
      </c>
      <c r="L87" t="s">
        <v>17</v>
      </c>
    </row>
    <row r="88" spans="1:14" x14ac:dyDescent="0.25">
      <c r="A88">
        <f t="shared" si="3"/>
        <v>1</v>
      </c>
      <c r="B88" t="s">
        <v>102</v>
      </c>
      <c r="L88" t="s">
        <v>17</v>
      </c>
    </row>
    <row r="89" spans="1:14" x14ac:dyDescent="0.25">
      <c r="A89">
        <f t="shared" si="3"/>
        <v>1</v>
      </c>
      <c r="B89" t="s">
        <v>103</v>
      </c>
      <c r="L89" t="s">
        <v>17</v>
      </c>
    </row>
    <row r="90" spans="1:14" x14ac:dyDescent="0.25">
      <c r="A90">
        <f t="shared" si="3"/>
        <v>1</v>
      </c>
      <c r="B90" t="s">
        <v>104</v>
      </c>
      <c r="L90" t="s">
        <v>17</v>
      </c>
    </row>
    <row r="91" spans="1:14" x14ac:dyDescent="0.25">
      <c r="A91">
        <f t="shared" si="3"/>
        <v>1</v>
      </c>
      <c r="B91" t="s">
        <v>105</v>
      </c>
      <c r="L91" t="s">
        <v>17</v>
      </c>
    </row>
    <row r="92" spans="1:14" x14ac:dyDescent="0.25">
      <c r="A92">
        <f t="shared" si="3"/>
        <v>1</v>
      </c>
      <c r="B92" t="s">
        <v>106</v>
      </c>
      <c r="L92" t="s">
        <v>17</v>
      </c>
    </row>
    <row r="93" spans="1:14" x14ac:dyDescent="0.25">
      <c r="A93">
        <f t="shared" si="3"/>
        <v>1</v>
      </c>
      <c r="B93" t="s">
        <v>107</v>
      </c>
      <c r="N93" t="s">
        <v>17</v>
      </c>
    </row>
    <row r="94" spans="1:14" x14ac:dyDescent="0.25">
      <c r="A94">
        <f t="shared" si="3"/>
        <v>1</v>
      </c>
      <c r="B94" t="s">
        <v>108</v>
      </c>
      <c r="D94" t="s">
        <v>17</v>
      </c>
    </row>
    <row r="95" spans="1:14" x14ac:dyDescent="0.25">
      <c r="A95">
        <f t="shared" si="3"/>
        <v>1</v>
      </c>
      <c r="B95" t="s">
        <v>109</v>
      </c>
      <c r="D95" t="s">
        <v>17</v>
      </c>
    </row>
    <row r="96" spans="1:14" x14ac:dyDescent="0.25">
      <c r="A96">
        <f t="shared" si="3"/>
        <v>1</v>
      </c>
      <c r="B96" t="s">
        <v>110</v>
      </c>
      <c r="D96" t="s">
        <v>17</v>
      </c>
    </row>
    <row r="97" spans="1:4" x14ac:dyDescent="0.25">
      <c r="A97">
        <f t="shared" si="3"/>
        <v>1</v>
      </c>
      <c r="B97" t="s">
        <v>111</v>
      </c>
      <c r="D97" t="s">
        <v>17</v>
      </c>
    </row>
    <row r="98" spans="1:4" x14ac:dyDescent="0.25">
      <c r="A98">
        <f t="shared" si="3"/>
        <v>1</v>
      </c>
      <c r="B98" t="s">
        <v>112</v>
      </c>
      <c r="D98" t="s">
        <v>17</v>
      </c>
    </row>
    <row r="99" spans="1:4" x14ac:dyDescent="0.25">
      <c r="A99">
        <f t="shared" si="3"/>
        <v>1</v>
      </c>
      <c r="B99" t="s">
        <v>113</v>
      </c>
      <c r="D99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4"/>
  <sheetViews>
    <sheetView topLeftCell="T1" workbookViewId="0">
      <selection activeCell="T5" sqref="T5"/>
    </sheetView>
  </sheetViews>
  <sheetFormatPr defaultRowHeight="15" x14ac:dyDescent="0.25"/>
  <cols>
    <col min="1" max="1" width="15.28515625" customWidth="1"/>
    <col min="2" max="2" width="12.140625" customWidth="1"/>
    <col min="3" max="3" width="16" customWidth="1"/>
    <col min="4" max="4" width="19.5703125" customWidth="1"/>
    <col min="5" max="5" width="14" customWidth="1"/>
    <col min="6" max="6" width="14.85546875" customWidth="1"/>
    <col min="7" max="7" width="14.28515625" customWidth="1"/>
    <col min="8" max="8" width="15.42578125" customWidth="1"/>
    <col min="9" max="9" width="15.7109375" customWidth="1"/>
    <col min="10" max="10" width="13.7109375" customWidth="1"/>
    <col min="11" max="11" width="14.28515625" customWidth="1"/>
    <col min="12" max="12" width="21.28515625" customWidth="1"/>
    <col min="13" max="13" width="22.7109375" customWidth="1"/>
    <col min="14" max="14" width="13" customWidth="1"/>
    <col min="15" max="15" width="17.42578125" customWidth="1"/>
    <col min="16" max="16" width="30.140625" customWidth="1"/>
    <col min="17" max="17" width="24.7109375" customWidth="1"/>
    <col min="18" max="18" width="26.42578125" customWidth="1"/>
    <col min="19" max="19" width="23.5703125" customWidth="1"/>
    <col min="20" max="20" width="34.7109375" customWidth="1"/>
    <col min="27" max="27" width="10.140625" bestFit="1" customWidth="1"/>
    <col min="28" max="28" width="14.42578125" bestFit="1" customWidth="1"/>
  </cols>
  <sheetData>
    <row r="1" spans="1:32" x14ac:dyDescent="0.25">
      <c r="A1" t="s">
        <v>16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24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6" t="s">
        <v>36</v>
      </c>
      <c r="S1" s="2" t="s">
        <v>37</v>
      </c>
      <c r="T1" s="2" t="s">
        <v>38</v>
      </c>
      <c r="U1" s="2" t="s">
        <v>39</v>
      </c>
      <c r="V1" s="2" t="s">
        <v>40</v>
      </c>
      <c r="W1" s="2" t="s">
        <v>41</v>
      </c>
      <c r="X1" s="2" t="s">
        <v>42</v>
      </c>
      <c r="Y1" s="2" t="s">
        <v>43</v>
      </c>
      <c r="Z1" s="2" t="s">
        <v>44</v>
      </c>
      <c r="AA1" s="2" t="s">
        <v>45</v>
      </c>
      <c r="AB1" s="2" t="s">
        <v>46</v>
      </c>
      <c r="AC1" s="2" t="s">
        <v>47</v>
      </c>
      <c r="AD1" s="2" t="s">
        <v>48</v>
      </c>
      <c r="AE1" s="2" t="s">
        <v>49</v>
      </c>
      <c r="AF1" s="2" t="s">
        <v>50</v>
      </c>
    </row>
    <row r="2" spans="1:32" x14ac:dyDescent="0.25">
      <c r="A2" t="s">
        <v>115</v>
      </c>
      <c r="B2" t="s">
        <v>116</v>
      </c>
      <c r="C2" t="s">
        <v>117</v>
      </c>
      <c r="D2" s="5">
        <v>35011</v>
      </c>
      <c r="E2" t="s">
        <v>118</v>
      </c>
      <c r="F2" t="s">
        <v>119</v>
      </c>
      <c r="G2" t="s">
        <v>120</v>
      </c>
      <c r="H2" t="s">
        <v>121</v>
      </c>
      <c r="I2" t="s">
        <v>122</v>
      </c>
      <c r="J2" t="s">
        <v>123</v>
      </c>
      <c r="K2" s="5">
        <v>42954</v>
      </c>
      <c r="L2" t="s">
        <v>124</v>
      </c>
      <c r="M2" t="s">
        <v>125</v>
      </c>
      <c r="N2">
        <v>1234</v>
      </c>
      <c r="O2" t="s">
        <v>125</v>
      </c>
      <c r="P2">
        <v>123</v>
      </c>
      <c r="Q2" t="s">
        <v>126</v>
      </c>
    </row>
    <row r="14" spans="1:32" x14ac:dyDescent="0.25">
      <c r="A14" s="2" t="s">
        <v>51</v>
      </c>
      <c r="B14" s="2" t="s">
        <v>52</v>
      </c>
      <c r="C14" s="2" t="s">
        <v>53</v>
      </c>
      <c r="D14" s="2" t="s">
        <v>54</v>
      </c>
      <c r="E14" s="4" t="s">
        <v>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1:T26"/>
  <sheetViews>
    <sheetView topLeftCell="A10" workbookViewId="0">
      <selection activeCell="A26" sqref="A26"/>
    </sheetView>
  </sheetViews>
  <sheetFormatPr defaultRowHeight="15" x14ac:dyDescent="0.25"/>
  <cols>
    <col min="1" max="1" width="32.28515625" customWidth="1"/>
    <col min="2" max="2" width="30.140625" customWidth="1"/>
    <col min="3" max="3" width="23" customWidth="1"/>
    <col min="4" max="4" width="25.7109375" customWidth="1"/>
    <col min="5" max="5" width="23.7109375" customWidth="1"/>
    <col min="6" max="6" width="22.7109375" customWidth="1"/>
    <col min="7" max="7" width="14.42578125" customWidth="1"/>
    <col min="8" max="8" width="36.28515625" customWidth="1"/>
    <col min="9" max="9" width="20.140625" customWidth="1"/>
    <col min="10" max="10" width="34" customWidth="1"/>
    <col min="11" max="11" width="22.5703125" customWidth="1"/>
    <col min="12" max="12" width="20" customWidth="1"/>
    <col min="13" max="13" width="20.5703125" customWidth="1"/>
    <col min="14" max="14" width="38.42578125" customWidth="1"/>
    <col min="15" max="15" width="70.28515625" customWidth="1"/>
    <col min="16" max="16" width="43.7109375" customWidth="1"/>
    <col min="17" max="17" width="26.42578125" customWidth="1"/>
    <col min="18" max="18" width="20.28515625" customWidth="1"/>
    <col min="19" max="19" width="13.28515625" customWidth="1"/>
    <col min="20" max="20" width="18" customWidth="1"/>
    <col min="21" max="21" width="11.85546875" customWidth="1"/>
    <col min="22" max="22" width="23.5703125" customWidth="1"/>
    <col min="23" max="23" width="21.85546875" customWidth="1"/>
    <col min="24" max="24" width="17.5703125" customWidth="1"/>
    <col min="25" max="25" width="23.7109375" customWidth="1"/>
    <col min="26" max="26" width="16.7109375" customWidth="1"/>
    <col min="27" max="27" width="14.42578125" customWidth="1"/>
    <col min="28" max="28" width="16.42578125" customWidth="1"/>
    <col min="29" max="29" width="14.42578125" customWidth="1"/>
    <col min="30" max="30" width="13" customWidth="1"/>
    <col min="31" max="31" width="11" customWidth="1"/>
    <col min="32" max="32" width="20" customWidth="1"/>
    <col min="33" max="33" width="20.5703125" customWidth="1"/>
    <col min="34" max="34" width="38.42578125" customWidth="1"/>
    <col min="35" max="35" width="29.28515625" customWidth="1"/>
    <col min="36" max="36" width="29.42578125" customWidth="1"/>
    <col min="37" max="37" width="26.42578125" customWidth="1"/>
    <col min="38" max="38" width="20.28515625" customWidth="1"/>
  </cols>
  <sheetData>
    <row r="11" spans="1:20" x14ac:dyDescent="0.25">
      <c r="A11" s="6" t="s">
        <v>56</v>
      </c>
      <c r="B11" s="2" t="s">
        <v>57</v>
      </c>
      <c r="C11" s="2" t="s">
        <v>58</v>
      </c>
      <c r="D11" s="2" t="s">
        <v>59</v>
      </c>
      <c r="E11" s="2" t="s">
        <v>60</v>
      </c>
      <c r="F11" s="2" t="s">
        <v>61</v>
      </c>
      <c r="G11" s="2" t="s">
        <v>62</v>
      </c>
      <c r="H11" s="2" t="s">
        <v>63</v>
      </c>
      <c r="I11" s="2" t="s">
        <v>64</v>
      </c>
      <c r="J11" s="2" t="s">
        <v>65</v>
      </c>
      <c r="K11" s="2" t="s">
        <v>66</v>
      </c>
      <c r="L11" s="2" t="s">
        <v>67</v>
      </c>
      <c r="M11" s="2" t="s">
        <v>68</v>
      </c>
      <c r="N11" s="2" t="s">
        <v>69</v>
      </c>
      <c r="O11" s="2" t="s">
        <v>70</v>
      </c>
      <c r="P11" s="2" t="s">
        <v>71</v>
      </c>
      <c r="Q11" s="2" t="s">
        <v>72</v>
      </c>
      <c r="R11" s="2" t="s">
        <v>73</v>
      </c>
      <c r="S11" s="2" t="s">
        <v>74</v>
      </c>
      <c r="T11" s="4" t="s">
        <v>75</v>
      </c>
    </row>
    <row r="21" spans="1:20" x14ac:dyDescent="0.25">
      <c r="A21" s="6" t="s">
        <v>76</v>
      </c>
      <c r="B21" s="2" t="s">
        <v>77</v>
      </c>
      <c r="C21" s="2" t="s">
        <v>78</v>
      </c>
      <c r="D21" s="2" t="s">
        <v>79</v>
      </c>
      <c r="E21" s="2" t="s">
        <v>80</v>
      </c>
      <c r="F21" s="2" t="s">
        <v>81</v>
      </c>
      <c r="G21" s="2" t="s">
        <v>82</v>
      </c>
      <c r="H21" s="2" t="s">
        <v>83</v>
      </c>
      <c r="I21" s="2" t="s">
        <v>84</v>
      </c>
      <c r="J21" s="3" t="s">
        <v>85</v>
      </c>
      <c r="K21" s="2" t="s">
        <v>86</v>
      </c>
      <c r="L21" s="2" t="s">
        <v>87</v>
      </c>
      <c r="M21" s="2" t="s">
        <v>88</v>
      </c>
      <c r="N21" s="2" t="s">
        <v>89</v>
      </c>
      <c r="O21" s="2" t="s">
        <v>90</v>
      </c>
      <c r="P21" s="2" t="s">
        <v>91</v>
      </c>
      <c r="Q21" s="2" t="s">
        <v>92</v>
      </c>
      <c r="R21" s="2" t="s">
        <v>93</v>
      </c>
      <c r="S21" s="2" t="s">
        <v>94</v>
      </c>
      <c r="T21" s="2" t="s">
        <v>95</v>
      </c>
    </row>
    <row r="26" spans="1:20" x14ac:dyDescent="0.25">
      <c r="A26" s="2" t="s">
        <v>96</v>
      </c>
      <c r="B26" s="2" t="s">
        <v>97</v>
      </c>
      <c r="C26" s="2" t="s">
        <v>98</v>
      </c>
      <c r="D26" s="2" t="s">
        <v>99</v>
      </c>
      <c r="E26" s="2" t="s">
        <v>100</v>
      </c>
      <c r="F26" s="2" t="s">
        <v>101</v>
      </c>
      <c r="G26" s="2" t="s">
        <v>102</v>
      </c>
      <c r="H26" s="2" t="s">
        <v>103</v>
      </c>
      <c r="I26" s="2" t="s">
        <v>104</v>
      </c>
      <c r="J26" s="2" t="s">
        <v>105</v>
      </c>
      <c r="K26" s="2" t="s">
        <v>106</v>
      </c>
      <c r="L26" s="2" t="s">
        <v>107</v>
      </c>
      <c r="M26" s="2" t="s">
        <v>108</v>
      </c>
      <c r="N26" s="2" t="s">
        <v>109</v>
      </c>
      <c r="O26" s="2" t="s">
        <v>110</v>
      </c>
      <c r="P26" s="2" t="s">
        <v>111</v>
      </c>
      <c r="Q26" s="2" t="s">
        <v>112</v>
      </c>
      <c r="R26" s="4" t="s">
        <v>113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S3"/>
  <sheetViews>
    <sheetView tabSelected="1" workbookViewId="0">
      <selection activeCell="E6" sqref="E6"/>
    </sheetView>
  </sheetViews>
  <sheetFormatPr defaultRowHeight="15" x14ac:dyDescent="0.25"/>
  <cols>
    <col min="1" max="1" width="12.7109375" bestFit="1" customWidth="1"/>
    <col min="2" max="2" width="12.28515625" bestFit="1" customWidth="1"/>
    <col min="3" max="3" width="13.85546875" bestFit="1" customWidth="1"/>
    <col min="4" max="4" width="17.7109375" bestFit="1" customWidth="1"/>
    <col min="5" max="5" width="11.85546875" bestFit="1" customWidth="1"/>
    <col min="6" max="6" width="7.5703125" bestFit="1" customWidth="1"/>
    <col min="7" max="7" width="12.5703125" bestFit="1" customWidth="1"/>
    <col min="8" max="8" width="13.85546875" bestFit="1" customWidth="1"/>
    <col min="9" max="9" width="13.5703125" bestFit="1" customWidth="1"/>
    <col min="10" max="10" width="12.5703125" bestFit="1" customWidth="1"/>
    <col min="11" max="11" width="15.85546875" customWidth="1"/>
    <col min="12" max="12" width="19.140625" bestFit="1" customWidth="1"/>
    <col min="13" max="13" width="20.85546875" bestFit="1" customWidth="1"/>
    <col min="14" max="14" width="10.85546875" customWidth="1"/>
    <col min="15" max="15" width="16" bestFit="1" customWidth="1"/>
    <col min="16" max="16" width="32.5703125" bestFit="1" customWidth="1"/>
    <col min="17" max="17" width="19.28515625" bestFit="1" customWidth="1"/>
    <col min="18" max="18" width="35.42578125" bestFit="1" customWidth="1"/>
    <col min="19" max="19" width="25.140625" bestFit="1" customWidth="1"/>
    <col min="20" max="20" width="24.140625" bestFit="1" customWidth="1"/>
    <col min="22" max="22" width="13.28515625" bestFit="1" customWidth="1"/>
    <col min="27" max="27" width="14" bestFit="1" customWidth="1"/>
    <col min="28" max="28" width="11.5703125" bestFit="1" customWidth="1"/>
    <col min="29" max="29" width="12.28515625" bestFit="1" customWidth="1"/>
    <col min="30" max="30" width="14.42578125" bestFit="1" customWidth="1"/>
    <col min="32" max="32" width="13.7109375" bestFit="1" customWidth="1"/>
    <col min="33" max="33" width="22.85546875" bestFit="1" customWidth="1"/>
    <col min="34" max="34" width="23.7109375" bestFit="1" customWidth="1"/>
    <col min="35" max="35" width="10.85546875" bestFit="1" customWidth="1"/>
    <col min="36" max="36" width="11.85546875" bestFit="1" customWidth="1"/>
    <col min="37" max="37" width="19.42578125" bestFit="1" customWidth="1"/>
    <col min="38" max="38" width="17.5703125" bestFit="1" customWidth="1"/>
    <col min="39" max="39" width="23.5703125" bestFit="1" customWidth="1"/>
    <col min="40" max="40" width="15.5703125" bestFit="1" customWidth="1"/>
    <col min="41" max="41" width="22.42578125" bestFit="1" customWidth="1"/>
    <col min="43" max="43" width="19.42578125" bestFit="1" customWidth="1"/>
    <col min="44" max="44" width="31" bestFit="1" customWidth="1"/>
    <col min="45" max="45" width="19.28515625" bestFit="1" customWidth="1"/>
    <col min="46" max="46" width="22.42578125" bestFit="1" customWidth="1"/>
    <col min="53" max="53" width="15.5703125" bestFit="1" customWidth="1"/>
    <col min="54" max="54" width="16.140625" customWidth="1"/>
    <col min="58" max="58" width="13.85546875" bestFit="1" customWidth="1"/>
    <col min="59" max="59" width="14" bestFit="1" customWidth="1"/>
    <col min="60" max="60" width="14.42578125" bestFit="1" customWidth="1"/>
    <col min="61" max="61" width="16" bestFit="1" customWidth="1"/>
    <col min="62" max="62" width="34.28515625" bestFit="1" customWidth="1"/>
    <col min="64" max="64" width="13.85546875" bestFit="1" customWidth="1"/>
    <col min="84" max="84" width="22.5703125" bestFit="1" customWidth="1"/>
    <col min="85" max="85" width="15.28515625" bestFit="1" customWidth="1"/>
    <col min="93" max="93" width="38.7109375" bestFit="1" customWidth="1"/>
    <col min="94" max="94" width="28.7109375" bestFit="1" customWidth="1"/>
    <col min="95" max="95" width="28.85546875" bestFit="1" customWidth="1"/>
    <col min="96" max="96" width="25.85546875" bestFit="1" customWidth="1"/>
    <col min="97" max="97" width="19.5703125" bestFit="1" customWidth="1"/>
  </cols>
  <sheetData>
    <row r="1" spans="1:97" ht="44.25" customHeight="1" x14ac:dyDescent="0.25">
      <c r="A1" t="s">
        <v>16</v>
      </c>
      <c r="B1" t="s">
        <v>205</v>
      </c>
      <c r="C1" t="s">
        <v>132</v>
      </c>
      <c r="D1" t="s">
        <v>201</v>
      </c>
      <c r="E1" t="s">
        <v>21</v>
      </c>
      <c r="F1" t="s">
        <v>22</v>
      </c>
      <c r="G1" t="s">
        <v>133</v>
      </c>
      <c r="H1" t="s">
        <v>134</v>
      </c>
      <c r="I1" t="s">
        <v>135</v>
      </c>
      <c r="J1" t="s">
        <v>26</v>
      </c>
      <c r="K1" t="s">
        <v>27</v>
      </c>
      <c r="L1" t="s">
        <v>74</v>
      </c>
      <c r="M1" t="s">
        <v>238</v>
      </c>
      <c r="N1" t="s">
        <v>30</v>
      </c>
      <c r="O1" t="s">
        <v>136</v>
      </c>
      <c r="P1" t="s">
        <v>204</v>
      </c>
      <c r="Q1" t="s">
        <v>137</v>
      </c>
      <c r="R1" t="s">
        <v>203</v>
      </c>
      <c r="S1" t="s">
        <v>138</v>
      </c>
      <c r="T1" t="s">
        <v>139</v>
      </c>
      <c r="U1" t="s">
        <v>35</v>
      </c>
      <c r="V1" t="s">
        <v>140</v>
      </c>
      <c r="W1" t="s">
        <v>37</v>
      </c>
      <c r="X1" t="s">
        <v>38</v>
      </c>
      <c r="Y1" t="s">
        <v>39</v>
      </c>
      <c r="Z1" t="s">
        <v>141</v>
      </c>
      <c r="AA1" t="s">
        <v>236</v>
      </c>
      <c r="AB1" t="s">
        <v>142</v>
      </c>
      <c r="AC1" t="s">
        <v>143</v>
      </c>
      <c r="AD1" t="s">
        <v>144</v>
      </c>
      <c r="AE1" t="s">
        <v>235</v>
      </c>
      <c r="AF1" t="s">
        <v>145</v>
      </c>
      <c r="AG1" t="s">
        <v>146</v>
      </c>
      <c r="AH1" t="s">
        <v>147</v>
      </c>
      <c r="AI1" t="s">
        <v>49</v>
      </c>
      <c r="AJ1" t="s">
        <v>148</v>
      </c>
      <c r="AK1" t="s">
        <v>239</v>
      </c>
      <c r="AL1" t="s">
        <v>149</v>
      </c>
      <c r="AM1" t="s">
        <v>150</v>
      </c>
      <c r="AN1" t="s">
        <v>151</v>
      </c>
      <c r="AO1" t="s">
        <v>152</v>
      </c>
      <c r="AP1" t="s">
        <v>153</v>
      </c>
      <c r="AQ1" t="s">
        <v>154</v>
      </c>
      <c r="AR1" t="s">
        <v>155</v>
      </c>
      <c r="AS1" t="s">
        <v>156</v>
      </c>
      <c r="AT1" t="s">
        <v>157</v>
      </c>
      <c r="AU1" t="s">
        <v>60</v>
      </c>
      <c r="AV1" t="s">
        <v>61</v>
      </c>
      <c r="AW1" t="s">
        <v>62</v>
      </c>
      <c r="AX1" t="s">
        <v>158</v>
      </c>
      <c r="AY1" t="s">
        <v>159</v>
      </c>
      <c r="AZ1" t="s">
        <v>65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241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s="1" t="s">
        <v>175</v>
      </c>
      <c r="BR1" t="s">
        <v>176</v>
      </c>
      <c r="BS1" t="s">
        <v>87</v>
      </c>
      <c r="BT1" t="s">
        <v>88</v>
      </c>
      <c r="BU1" t="s">
        <v>177</v>
      </c>
      <c r="BV1" t="s">
        <v>178</v>
      </c>
      <c r="BW1" t="s">
        <v>179</v>
      </c>
      <c r="BX1" t="s">
        <v>180</v>
      </c>
      <c r="BY1" t="s">
        <v>181</v>
      </c>
      <c r="BZ1" t="s">
        <v>182</v>
      </c>
      <c r="CA1" t="s">
        <v>183</v>
      </c>
      <c r="CB1" t="s">
        <v>96</v>
      </c>
      <c r="CC1" t="s">
        <v>184</v>
      </c>
      <c r="CD1" t="s">
        <v>185</v>
      </c>
      <c r="CE1" t="s">
        <v>186</v>
      </c>
      <c r="CF1" t="s">
        <v>187</v>
      </c>
      <c r="CG1" t="s">
        <v>188</v>
      </c>
      <c r="CH1" t="s">
        <v>102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</row>
    <row r="2" spans="1:97" x14ac:dyDescent="0.25">
      <c r="A2" t="s">
        <v>127</v>
      </c>
      <c r="B2" t="s">
        <v>237</v>
      </c>
      <c r="C2" t="s">
        <v>128</v>
      </c>
      <c r="D2" s="5">
        <v>35011</v>
      </c>
      <c r="E2" t="s">
        <v>118</v>
      </c>
      <c r="F2" t="s">
        <v>119</v>
      </c>
      <c r="G2" t="s">
        <v>202</v>
      </c>
      <c r="H2" t="s">
        <v>129</v>
      </c>
      <c r="I2" t="s">
        <v>118</v>
      </c>
      <c r="J2" t="s">
        <v>121</v>
      </c>
      <c r="K2" t="s">
        <v>122</v>
      </c>
      <c r="L2" t="s">
        <v>200</v>
      </c>
      <c r="M2" s="5">
        <v>42963</v>
      </c>
      <c r="N2" t="s">
        <v>130</v>
      </c>
      <c r="O2" t="s">
        <v>240</v>
      </c>
      <c r="P2">
        <v>2389119021</v>
      </c>
      <c r="Q2" t="s">
        <v>206</v>
      </c>
      <c r="R2">
        <v>7090656470</v>
      </c>
      <c r="S2" t="s">
        <v>131</v>
      </c>
      <c r="T2">
        <v>987986963</v>
      </c>
      <c r="V2" t="s">
        <v>207</v>
      </c>
      <c r="W2" t="s">
        <v>125</v>
      </c>
      <c r="X2" t="s">
        <v>208</v>
      </c>
      <c r="Y2">
        <v>560103</v>
      </c>
      <c r="Z2" t="s">
        <v>209</v>
      </c>
      <c r="AA2" t="s">
        <v>210</v>
      </c>
      <c r="AB2" t="s">
        <v>211</v>
      </c>
      <c r="AC2" t="s">
        <v>212</v>
      </c>
      <c r="AD2">
        <v>123456987</v>
      </c>
      <c r="AE2" t="s">
        <v>213</v>
      </c>
      <c r="AF2">
        <v>963258741</v>
      </c>
      <c r="AG2" s="5">
        <v>42965</v>
      </c>
      <c r="AH2" s="5">
        <v>42966</v>
      </c>
      <c r="AI2" t="s">
        <v>214</v>
      </c>
      <c r="AJ2" t="s">
        <v>215</v>
      </c>
      <c r="AK2" t="s">
        <v>200</v>
      </c>
      <c r="AL2" t="s">
        <v>128</v>
      </c>
      <c r="AM2" t="s">
        <v>216</v>
      </c>
      <c r="AN2">
        <v>50</v>
      </c>
      <c r="AO2" t="s">
        <v>217</v>
      </c>
      <c r="AP2" s="7">
        <v>1</v>
      </c>
      <c r="AQ2" s="5">
        <v>42965</v>
      </c>
      <c r="AR2" t="s">
        <v>206</v>
      </c>
      <c r="AS2" s="5">
        <v>22545</v>
      </c>
      <c r="AT2" t="s">
        <v>215</v>
      </c>
      <c r="AU2" t="s">
        <v>218</v>
      </c>
      <c r="AV2" t="s">
        <v>219</v>
      </c>
      <c r="AW2" t="s">
        <v>219</v>
      </c>
      <c r="AX2" t="s">
        <v>219</v>
      </c>
      <c r="AY2" t="s">
        <v>219</v>
      </c>
      <c r="AZ2" t="s">
        <v>220</v>
      </c>
      <c r="BA2">
        <v>12345</v>
      </c>
      <c r="BB2" s="5">
        <v>34922</v>
      </c>
      <c r="BC2" t="s">
        <v>221</v>
      </c>
      <c r="BD2" s="5">
        <v>22545</v>
      </c>
      <c r="BE2" s="5">
        <v>24680</v>
      </c>
      <c r="BF2" t="s">
        <v>118</v>
      </c>
      <c r="BG2" t="s">
        <v>118</v>
      </c>
      <c r="BH2" t="s">
        <v>118</v>
      </c>
      <c r="BI2" t="s">
        <v>118</v>
      </c>
      <c r="BJ2" t="s">
        <v>118</v>
      </c>
      <c r="BK2" t="s">
        <v>118</v>
      </c>
      <c r="BL2" t="s">
        <v>222</v>
      </c>
      <c r="BM2" t="s">
        <v>223</v>
      </c>
      <c r="BN2" t="s">
        <v>224</v>
      </c>
      <c r="BO2" t="s">
        <v>225</v>
      </c>
      <c r="BP2" t="s">
        <v>226</v>
      </c>
      <c r="BQ2" t="s">
        <v>227</v>
      </c>
      <c r="BR2" t="s">
        <v>228</v>
      </c>
      <c r="BS2" t="s">
        <v>224</v>
      </c>
      <c r="BT2">
        <v>76</v>
      </c>
      <c r="BU2" t="s">
        <v>118</v>
      </c>
      <c r="BV2" t="s">
        <v>229</v>
      </c>
      <c r="BW2" t="s">
        <v>229</v>
      </c>
      <c r="BX2" t="s">
        <v>118</v>
      </c>
      <c r="BY2" t="s">
        <v>118</v>
      </c>
      <c r="BZ2" t="s">
        <v>118</v>
      </c>
      <c r="CA2" t="s">
        <v>118</v>
      </c>
      <c r="CB2" t="s">
        <v>118</v>
      </c>
      <c r="CC2" t="s">
        <v>118</v>
      </c>
      <c r="CD2" t="s">
        <v>118</v>
      </c>
      <c r="CE2" t="s">
        <v>118</v>
      </c>
      <c r="CF2" t="s">
        <v>224</v>
      </c>
      <c r="CG2" t="s">
        <v>229</v>
      </c>
      <c r="CH2">
        <v>12563</v>
      </c>
      <c r="CI2" t="s">
        <v>230</v>
      </c>
      <c r="CJ2" t="s">
        <v>231</v>
      </c>
      <c r="CK2" t="s">
        <v>232</v>
      </c>
      <c r="CL2" t="s">
        <v>233</v>
      </c>
      <c r="CM2" t="s">
        <v>123</v>
      </c>
      <c r="CN2" t="s">
        <v>234</v>
      </c>
      <c r="CO2" t="s">
        <v>118</v>
      </c>
      <c r="CP2" t="s">
        <v>118</v>
      </c>
      <c r="CQ2" t="s">
        <v>118</v>
      </c>
      <c r="CR2" t="s">
        <v>118</v>
      </c>
      <c r="CS2" t="s">
        <v>118</v>
      </c>
    </row>
    <row r="3" spans="1:97" x14ac:dyDescent="0.25">
      <c r="D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4.Submit_Button">
                <anchor moveWithCells="1">
                  <from>
                    <xdr:col>4</xdr:col>
                    <xdr:colOff>180975</xdr:colOff>
                    <xdr:row>4</xdr:row>
                    <xdr:rowOff>66675</xdr:rowOff>
                  </from>
                  <to>
                    <xdr:col>4</xdr:col>
                    <xdr:colOff>723900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Data_Entry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Srujana, Darisa</dc:creator>
  <cp:lastModifiedBy>Paul, Ashik</cp:lastModifiedBy>
  <cp:revision/>
  <dcterms:created xsi:type="dcterms:W3CDTF">2017-08-14T09:04:50Z</dcterms:created>
  <dcterms:modified xsi:type="dcterms:W3CDTF">2017-08-23T05:30:18Z</dcterms:modified>
</cp:coreProperties>
</file>